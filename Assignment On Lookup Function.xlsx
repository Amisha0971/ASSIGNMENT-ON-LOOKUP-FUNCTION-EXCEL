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0" documentId="8_{9B1CCB8A-5B80-478B-8C5D-A7189756C8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B57" i="1"/>
  <c r="B56" i="1"/>
  <c r="B45" i="1"/>
  <c r="B44" i="1"/>
  <c r="B46" i="1"/>
  <c r="B43" i="1"/>
  <c r="B40" i="1"/>
  <c r="B25" i="1"/>
  <c r="B24" i="1"/>
  <c r="B42" i="1"/>
  <c r="B47" i="1"/>
</calcChain>
</file>

<file path=xl/sharedStrings.xml><?xml version="1.0" encoding="utf-8"?>
<sst xmlns="http://schemas.openxmlformats.org/spreadsheetml/2006/main" count="115" uniqueCount="88">
  <si>
    <t>LOOKUP FUNCTION</t>
  </si>
  <si>
    <t>City</t>
  </si>
  <si>
    <t>State</t>
  </si>
  <si>
    <t>Store #</t>
  </si>
  <si>
    <t>Chandler</t>
  </si>
  <si>
    <t>AZ</t>
  </si>
  <si>
    <t>Glendale</t>
  </si>
  <si>
    <t>CA</t>
  </si>
  <si>
    <t>Fort Collins</t>
  </si>
  <si>
    <t>CO</t>
  </si>
  <si>
    <t>Gainesville</t>
  </si>
  <si>
    <t>FL</t>
  </si>
  <si>
    <t>Peoria</t>
  </si>
  <si>
    <t>IL</t>
  </si>
  <si>
    <t>Indianapolis</t>
  </si>
  <si>
    <t>IN</t>
  </si>
  <si>
    <t>Lafayette</t>
  </si>
  <si>
    <t>LA</t>
  </si>
  <si>
    <t>Grand Rapids</t>
  </si>
  <si>
    <t>MI</t>
  </si>
  <si>
    <t>St. Louis</t>
  </si>
  <si>
    <t>MO</t>
  </si>
  <si>
    <t>Billings</t>
  </si>
  <si>
    <t>MT</t>
  </si>
  <si>
    <t>Raleigh</t>
  </si>
  <si>
    <t>NC</t>
  </si>
  <si>
    <t>Manchester</t>
  </si>
  <si>
    <t>NH</t>
  </si>
  <si>
    <t>Elizabeth</t>
  </si>
  <si>
    <t>NJ</t>
  </si>
  <si>
    <t>Albuquerque</t>
  </si>
  <si>
    <t>NM</t>
  </si>
  <si>
    <t>Toledo</t>
  </si>
  <si>
    <t>OH</t>
  </si>
  <si>
    <t>Tulsa</t>
  </si>
  <si>
    <t>OK</t>
  </si>
  <si>
    <t>Portland</t>
  </si>
  <si>
    <t>OR</t>
  </si>
  <si>
    <t>York</t>
  </si>
  <si>
    <t>PA</t>
  </si>
  <si>
    <t>Providence</t>
  </si>
  <si>
    <t>RI</t>
  </si>
  <si>
    <t>Clarksville</t>
  </si>
  <si>
    <t>TN</t>
  </si>
  <si>
    <t>Lookup City:</t>
  </si>
  <si>
    <t>Lookup State:</t>
  </si>
  <si>
    <t>Lookup Store:</t>
  </si>
  <si>
    <t>VLOOKUP FUNCTION</t>
  </si>
  <si>
    <t>ID</t>
  </si>
  <si>
    <t>Employee Name</t>
  </si>
  <si>
    <t>Address</t>
  </si>
  <si>
    <t>Frequency</t>
  </si>
  <si>
    <t>Salary</t>
  </si>
  <si>
    <t>Tax Rate</t>
  </si>
  <si>
    <t>Insurance</t>
  </si>
  <si>
    <t>James</t>
  </si>
  <si>
    <t>427 Boulevard Anytown</t>
  </si>
  <si>
    <t>Smita Ward</t>
  </si>
  <si>
    <t>192nd Street Anytown</t>
  </si>
  <si>
    <t>John Marshall</t>
  </si>
  <si>
    <t>230 Dodge Street Anytown</t>
  </si>
  <si>
    <t>Cooper Smith</t>
  </si>
  <si>
    <t>451 Dodge Street Anytown</t>
  </si>
  <si>
    <t>Isabella Harris</t>
  </si>
  <si>
    <t>136th Street Anytown</t>
  </si>
  <si>
    <t>Kaylee Perez</t>
  </si>
  <si>
    <t>North 30th Street Anytown</t>
  </si>
  <si>
    <t>Kimberly Hall</t>
  </si>
  <si>
    <t>Regency Parkway Drive Anytown</t>
  </si>
  <si>
    <t>Jesus Clark</t>
  </si>
  <si>
    <t>Fontenelle Boulevard Anytown</t>
  </si>
  <si>
    <t>Kylie Woods</t>
  </si>
  <si>
    <t>Jackson Stephens</t>
  </si>
  <si>
    <t>Harrison Street Anytown</t>
  </si>
  <si>
    <t>Employee ID</t>
  </si>
  <si>
    <t>Check #</t>
  </si>
  <si>
    <t>Net Pay</t>
  </si>
  <si>
    <t>Employee Address</t>
  </si>
  <si>
    <t>Pay</t>
  </si>
  <si>
    <t>Taxes</t>
  </si>
  <si>
    <t>Total</t>
  </si>
  <si>
    <t>HLOOKUP FUNCTION</t>
  </si>
  <si>
    <t>Store</t>
  </si>
  <si>
    <t>Temp</t>
  </si>
  <si>
    <t>Your City:</t>
  </si>
  <si>
    <t>Your State:</t>
  </si>
  <si>
    <t>Your Store:</t>
  </si>
  <si>
    <t>Your Temp: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</si>
</sst>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topLeftCell="A47" workbookViewId="0">
      <selection activeCell="D61" sqref="D61"/>
    </sheetView>
  </sheetViews>
  <sheetFormatPr defaultRowHeight="15"/>
  <cols>
    <col min="1" max="1" width="20.28515625" customWidth="1"/>
    <col min="2" max="2" width="26.5703125" customWidth="1"/>
    <col min="3" max="3" width="23.85546875" customWidth="1"/>
    <col min="4" max="4" width="28.140625" bestFit="1" customWidth="1"/>
    <col min="5" max="6" width="10.7109375" bestFit="1" customWidth="1"/>
    <col min="8" max="8" width="11.28515625" bestFit="1" customWidth="1"/>
    <col min="10" max="10" width="12.42578125" bestFit="1" customWidth="1"/>
  </cols>
  <sheetData>
    <row r="1" spans="1:4">
      <c r="A1" s="3"/>
      <c r="B1" s="2" t="s">
        <v>0</v>
      </c>
      <c r="C1" s="3"/>
    </row>
    <row r="2" spans="1:4">
      <c r="A2" s="3" t="s">
        <v>1</v>
      </c>
      <c r="B2" s="3" t="s">
        <v>2</v>
      </c>
      <c r="C2" s="3" t="s">
        <v>3</v>
      </c>
      <c r="D2" s="1"/>
    </row>
    <row r="3" spans="1:4">
      <c r="A3" s="3" t="s">
        <v>4</v>
      </c>
      <c r="B3" s="3" t="s">
        <v>5</v>
      </c>
      <c r="C3" s="3">
        <v>6493</v>
      </c>
    </row>
    <row r="4" spans="1:4">
      <c r="A4" s="3" t="s">
        <v>6</v>
      </c>
      <c r="B4" s="3" t="s">
        <v>7</v>
      </c>
      <c r="C4" s="3">
        <v>4369</v>
      </c>
    </row>
    <row r="5" spans="1:4">
      <c r="A5" s="3" t="s">
        <v>8</v>
      </c>
      <c r="B5" s="3" t="s">
        <v>9</v>
      </c>
      <c r="C5" s="3">
        <v>4505</v>
      </c>
    </row>
    <row r="6" spans="1:4">
      <c r="A6" s="3" t="s">
        <v>10</v>
      </c>
      <c r="B6" s="3" t="s">
        <v>11</v>
      </c>
      <c r="C6" s="3">
        <v>8745</v>
      </c>
    </row>
    <row r="7" spans="1:4">
      <c r="A7" s="3" t="s">
        <v>12</v>
      </c>
      <c r="B7" s="3" t="s">
        <v>13</v>
      </c>
      <c r="C7" s="3">
        <v>6273</v>
      </c>
    </row>
    <row r="8" spans="1:4">
      <c r="A8" s="3" t="s">
        <v>14</v>
      </c>
      <c r="B8" s="3" t="s">
        <v>15</v>
      </c>
      <c r="C8" s="3">
        <v>9384</v>
      </c>
    </row>
    <row r="9" spans="1:4">
      <c r="A9" s="3" t="s">
        <v>16</v>
      </c>
      <c r="B9" s="3" t="s">
        <v>17</v>
      </c>
      <c r="C9" s="3">
        <v>5654</v>
      </c>
    </row>
    <row r="10" spans="1:4">
      <c r="A10" s="3" t="s">
        <v>18</v>
      </c>
      <c r="B10" s="3" t="s">
        <v>19</v>
      </c>
      <c r="C10" s="3">
        <v>3972</v>
      </c>
    </row>
    <row r="11" spans="1:4">
      <c r="A11" s="3" t="s">
        <v>20</v>
      </c>
      <c r="B11" s="3" t="s">
        <v>21</v>
      </c>
      <c r="C11" s="3">
        <v>8816</v>
      </c>
    </row>
    <row r="12" spans="1:4">
      <c r="A12" s="3" t="s">
        <v>22</v>
      </c>
      <c r="B12" s="3" t="s">
        <v>23</v>
      </c>
      <c r="C12" s="3">
        <v>3331</v>
      </c>
    </row>
    <row r="13" spans="1:4">
      <c r="A13" s="3" t="s">
        <v>24</v>
      </c>
      <c r="B13" s="3" t="s">
        <v>25</v>
      </c>
      <c r="C13" s="3">
        <v>3371</v>
      </c>
    </row>
    <row r="14" spans="1:4">
      <c r="A14" s="3" t="s">
        <v>26</v>
      </c>
      <c r="B14" s="3" t="s">
        <v>27</v>
      </c>
      <c r="C14" s="3">
        <v>2608</v>
      </c>
    </row>
    <row r="15" spans="1:4">
      <c r="A15" s="3" t="s">
        <v>28</v>
      </c>
      <c r="B15" s="3" t="s">
        <v>29</v>
      </c>
      <c r="C15" s="3">
        <v>4122</v>
      </c>
    </row>
    <row r="16" spans="1:4">
      <c r="A16" s="3" t="s">
        <v>30</v>
      </c>
      <c r="B16" s="3" t="s">
        <v>31</v>
      </c>
      <c r="C16" s="3">
        <v>1022</v>
      </c>
    </row>
    <row r="17" spans="1:9">
      <c r="A17" s="3" t="s">
        <v>32</v>
      </c>
      <c r="B17" s="3" t="s">
        <v>33</v>
      </c>
      <c r="C17" s="3">
        <v>2634</v>
      </c>
    </row>
    <row r="18" spans="1:9">
      <c r="A18" s="3" t="s">
        <v>34</v>
      </c>
      <c r="B18" s="3" t="s">
        <v>35</v>
      </c>
      <c r="C18" s="3">
        <v>8567</v>
      </c>
    </row>
    <row r="19" spans="1:9">
      <c r="A19" s="3" t="s">
        <v>36</v>
      </c>
      <c r="B19" s="3" t="s">
        <v>37</v>
      </c>
      <c r="C19" s="3">
        <v>7302</v>
      </c>
    </row>
    <row r="20" spans="1:9">
      <c r="A20" s="3" t="s">
        <v>38</v>
      </c>
      <c r="B20" s="3" t="s">
        <v>39</v>
      </c>
      <c r="C20" s="3">
        <v>7326</v>
      </c>
    </row>
    <row r="21" spans="1:9">
      <c r="A21" s="3" t="s">
        <v>40</v>
      </c>
      <c r="B21" s="3" t="s">
        <v>41</v>
      </c>
      <c r="C21" s="3">
        <v>4643</v>
      </c>
    </row>
    <row r="22" spans="1:9">
      <c r="A22" s="3" t="s">
        <v>42</v>
      </c>
      <c r="B22" s="3" t="s">
        <v>43</v>
      </c>
      <c r="C22" s="3">
        <v>8304</v>
      </c>
    </row>
    <row r="23" spans="1:9">
      <c r="A23" s="3" t="s">
        <v>44</v>
      </c>
      <c r="B23" s="3" t="s">
        <v>26</v>
      </c>
      <c r="C23" s="3"/>
    </row>
    <row r="24" spans="1:9">
      <c r="A24" s="2" t="s">
        <v>45</v>
      </c>
      <c r="B24" s="2" t="str">
        <f>LOOKUP(B23,A3:A22,B3:B22)</f>
        <v>NH</v>
      </c>
      <c r="C24" s="3"/>
    </row>
    <row r="25" spans="1:9">
      <c r="A25" s="2" t="s">
        <v>46</v>
      </c>
      <c r="B25" s="2">
        <f>LOOKUP(B23,A3:A22,C3:C22)</f>
        <v>2608</v>
      </c>
      <c r="C25" s="3"/>
    </row>
    <row r="27" spans="1:9">
      <c r="A27" s="3"/>
      <c r="B27" s="3"/>
      <c r="C27" s="3"/>
      <c r="D27" s="2" t="s">
        <v>47</v>
      </c>
      <c r="E27" s="3"/>
      <c r="F27" s="3"/>
      <c r="G27" s="3"/>
    </row>
    <row r="28" spans="1:9">
      <c r="A28" s="3" t="s">
        <v>48</v>
      </c>
      <c r="B28" s="3" t="s">
        <v>49</v>
      </c>
      <c r="C28" s="3" t="s">
        <v>50</v>
      </c>
      <c r="D28" s="3" t="s">
        <v>51</v>
      </c>
      <c r="E28" s="3" t="s">
        <v>52</v>
      </c>
      <c r="F28" s="3" t="s">
        <v>53</v>
      </c>
      <c r="G28" s="3" t="s">
        <v>54</v>
      </c>
      <c r="H28" s="1"/>
    </row>
    <row r="29" spans="1:9">
      <c r="A29" s="3">
        <v>154</v>
      </c>
      <c r="B29" s="3" t="s">
        <v>55</v>
      </c>
      <c r="C29" s="3" t="s">
        <v>56</v>
      </c>
      <c r="D29" s="3">
        <v>26</v>
      </c>
      <c r="E29" s="4">
        <v>44000</v>
      </c>
      <c r="F29" s="5">
        <v>0.15</v>
      </c>
      <c r="G29" s="3">
        <v>100</v>
      </c>
    </row>
    <row r="30" spans="1:9">
      <c r="A30" s="3">
        <v>240</v>
      </c>
      <c r="B30" s="3" t="s">
        <v>57</v>
      </c>
      <c r="C30" s="3" t="s">
        <v>58</v>
      </c>
      <c r="D30" s="3">
        <v>26</v>
      </c>
      <c r="E30" s="4">
        <v>45000</v>
      </c>
      <c r="F30" s="5">
        <v>0.16</v>
      </c>
      <c r="G30" s="3">
        <v>200</v>
      </c>
    </row>
    <row r="31" spans="1:9">
      <c r="A31" s="3">
        <v>319</v>
      </c>
      <c r="B31" s="3" t="s">
        <v>59</v>
      </c>
      <c r="C31" s="3" t="s">
        <v>60</v>
      </c>
      <c r="D31" s="3">
        <v>52</v>
      </c>
      <c r="E31" s="4">
        <v>95000</v>
      </c>
      <c r="F31" s="5">
        <v>0.24</v>
      </c>
      <c r="G31" s="3">
        <v>300</v>
      </c>
      <c r="I31" s="4"/>
    </row>
    <row r="32" spans="1:9">
      <c r="A32" s="3">
        <v>311</v>
      </c>
      <c r="B32" s="3" t="s">
        <v>61</v>
      </c>
      <c r="C32" s="3" t="s">
        <v>62</v>
      </c>
      <c r="D32" s="3">
        <v>12</v>
      </c>
      <c r="E32" s="4">
        <v>100000</v>
      </c>
      <c r="F32" s="5">
        <v>0.2</v>
      </c>
      <c r="G32" s="3">
        <v>300</v>
      </c>
    </row>
    <row r="33" spans="1:7">
      <c r="A33" s="3">
        <v>428</v>
      </c>
      <c r="B33" s="3" t="s">
        <v>63</v>
      </c>
      <c r="C33" s="3" t="s">
        <v>64</v>
      </c>
      <c r="D33" s="3">
        <v>26</v>
      </c>
      <c r="E33" s="4">
        <v>57600</v>
      </c>
      <c r="F33" s="5">
        <v>0.25</v>
      </c>
      <c r="G33" s="3">
        <v>200</v>
      </c>
    </row>
    <row r="34" spans="1:7">
      <c r="A34" s="3">
        <v>451</v>
      </c>
      <c r="B34" s="3" t="s">
        <v>65</v>
      </c>
      <c r="C34" s="3" t="s">
        <v>66</v>
      </c>
      <c r="D34" s="3">
        <v>12</v>
      </c>
      <c r="E34" s="4">
        <v>82900</v>
      </c>
      <c r="F34" s="5">
        <v>0.2</v>
      </c>
      <c r="G34" s="3">
        <v>200</v>
      </c>
    </row>
    <row r="35" spans="1:7">
      <c r="A35" s="3">
        <v>527</v>
      </c>
      <c r="B35" s="3" t="s">
        <v>67</v>
      </c>
      <c r="C35" s="3" t="s">
        <v>68</v>
      </c>
      <c r="D35" s="3">
        <v>12</v>
      </c>
      <c r="E35" s="4">
        <v>91000</v>
      </c>
      <c r="F35" s="5">
        <v>0.17</v>
      </c>
      <c r="G35" s="3">
        <v>300</v>
      </c>
    </row>
    <row r="36" spans="1:7">
      <c r="A36" s="3">
        <v>560</v>
      </c>
      <c r="B36" s="3" t="s">
        <v>69</v>
      </c>
      <c r="C36" s="3" t="s">
        <v>70</v>
      </c>
      <c r="D36" s="3">
        <v>52</v>
      </c>
      <c r="E36" s="4">
        <v>43500</v>
      </c>
      <c r="F36" s="5">
        <v>0.18</v>
      </c>
      <c r="G36" s="3">
        <v>200</v>
      </c>
    </row>
    <row r="37" spans="1:7">
      <c r="A37" s="3">
        <v>663</v>
      </c>
      <c r="B37" s="3" t="s">
        <v>71</v>
      </c>
      <c r="C37" s="3" t="s">
        <v>70</v>
      </c>
      <c r="D37" s="3">
        <v>26</v>
      </c>
      <c r="E37" s="4">
        <v>76800</v>
      </c>
      <c r="F37" s="5">
        <v>0.21</v>
      </c>
      <c r="G37" s="3">
        <v>100</v>
      </c>
    </row>
    <row r="38" spans="1:7">
      <c r="A38" s="3">
        <v>981</v>
      </c>
      <c r="B38" s="3" t="s">
        <v>72</v>
      </c>
      <c r="C38" s="3" t="s">
        <v>73</v>
      </c>
      <c r="D38" s="3">
        <v>52</v>
      </c>
      <c r="E38" s="4">
        <v>49500</v>
      </c>
      <c r="F38" s="5">
        <v>0.18</v>
      </c>
      <c r="G38" s="3">
        <v>100</v>
      </c>
    </row>
    <row r="39" spans="1:7">
      <c r="A39" s="3" t="s">
        <v>74</v>
      </c>
      <c r="B39" s="3">
        <v>319</v>
      </c>
      <c r="C39" s="3"/>
      <c r="D39" s="3"/>
      <c r="E39" s="3"/>
      <c r="F39" s="3"/>
      <c r="G39" s="3"/>
    </row>
    <row r="40" spans="1:7">
      <c r="A40" s="2" t="s">
        <v>49</v>
      </c>
      <c r="B40" s="2" t="str">
        <f>VLOOKUP($B$39,$A$29:$G$38,2,FALSE)</f>
        <v>John Marshall</v>
      </c>
      <c r="C40" s="3"/>
      <c r="D40" s="3"/>
      <c r="E40" s="3"/>
      <c r="F40" s="3"/>
      <c r="G40" s="3"/>
    </row>
    <row r="41" spans="1:7">
      <c r="A41" s="3" t="s">
        <v>75</v>
      </c>
      <c r="B41" s="3">
        <v>151</v>
      </c>
      <c r="C41" s="3"/>
      <c r="D41" s="3"/>
      <c r="E41" s="3"/>
      <c r="F41" s="3"/>
      <c r="G41" s="3"/>
    </row>
    <row r="42" spans="1:7">
      <c r="A42" s="2" t="s">
        <v>76</v>
      </c>
      <c r="B42" s="6">
        <f ca="1">B44-B47</f>
        <v>0</v>
      </c>
      <c r="C42" s="3"/>
      <c r="D42" s="3"/>
      <c r="E42" s="3"/>
      <c r="F42" s="3"/>
      <c r="G42" s="3"/>
    </row>
    <row r="43" spans="1:7">
      <c r="A43" s="2" t="s">
        <v>77</v>
      </c>
      <c r="B43" s="2" t="str">
        <f>VLOOKUP($B$39,$A$29:$G$38,3,FALSE)</f>
        <v>230 Dodge Street Anytown</v>
      </c>
      <c r="C43" s="3"/>
      <c r="D43" s="3"/>
      <c r="E43" s="3"/>
      <c r="F43" s="3"/>
      <c r="G43" s="3"/>
    </row>
    <row r="44" spans="1:7">
      <c r="A44" s="2" t="s">
        <v>78</v>
      </c>
      <c r="B44" s="6">
        <f>VLOOKUP($B$39,$A$29:$G$38,5,FALSE)</f>
        <v>95000</v>
      </c>
      <c r="C44" s="3"/>
      <c r="D44" s="3"/>
      <c r="E44" s="3"/>
      <c r="F44" s="3"/>
      <c r="G44" s="3"/>
    </row>
    <row r="45" spans="1:7">
      <c r="A45" s="2" t="s">
        <v>79</v>
      </c>
      <c r="B45" s="7">
        <f>VLOOKUP($B$39,$A$29:$G$38,6,FALSE)</f>
        <v>0.24</v>
      </c>
      <c r="C45" s="3"/>
      <c r="D45" s="3"/>
      <c r="E45" s="3"/>
      <c r="F45" s="3"/>
      <c r="G45" s="3"/>
    </row>
    <row r="46" spans="1:7">
      <c r="A46" s="2" t="s">
        <v>54</v>
      </c>
      <c r="B46" s="2">
        <f>VLOOKUP($B$39,$A$29:$G$38,7,FALSE)</f>
        <v>300</v>
      </c>
      <c r="C46" s="3"/>
      <c r="D46" s="3"/>
      <c r="E46" s="3"/>
      <c r="F46" s="3"/>
      <c r="G46" s="3"/>
    </row>
    <row r="47" spans="1:7">
      <c r="A47" s="2" t="s">
        <v>80</v>
      </c>
      <c r="B47" s="6">
        <f ca="1">SUM(B45:B47)</f>
        <v>0</v>
      </c>
      <c r="C47" s="3"/>
      <c r="D47" s="3"/>
      <c r="E47" s="3"/>
      <c r="F47" s="3"/>
      <c r="G47" s="3"/>
    </row>
    <row r="48" spans="1:7" ht="3.75" customHeight="1">
      <c r="D48" s="3"/>
      <c r="E48" s="3"/>
      <c r="F48" s="3"/>
      <c r="G48" s="3"/>
    </row>
    <row r="49" spans="1:13" ht="31.5" customHeight="1"/>
    <row r="50" spans="1:13">
      <c r="A50" s="3"/>
      <c r="B50" s="3"/>
      <c r="C50" s="3"/>
      <c r="D50" s="2" t="s">
        <v>81</v>
      </c>
      <c r="E50" s="3"/>
      <c r="F50" s="3"/>
      <c r="G50" s="3"/>
      <c r="H50" s="3"/>
      <c r="I50" s="3"/>
      <c r="J50" s="3"/>
      <c r="K50" s="3"/>
    </row>
    <row r="51" spans="1:13">
      <c r="A51" s="3" t="s">
        <v>1</v>
      </c>
      <c r="B51" s="3" t="s">
        <v>4</v>
      </c>
      <c r="C51" s="3" t="s">
        <v>6</v>
      </c>
      <c r="D51" s="3" t="s">
        <v>8</v>
      </c>
      <c r="E51" s="3" t="s">
        <v>10</v>
      </c>
      <c r="F51" s="3" t="s">
        <v>12</v>
      </c>
      <c r="G51" s="3" t="s">
        <v>14</v>
      </c>
      <c r="H51" s="3" t="s">
        <v>16</v>
      </c>
      <c r="I51" s="3" t="s">
        <v>18</v>
      </c>
      <c r="J51" s="3" t="s">
        <v>20</v>
      </c>
      <c r="K51" s="3" t="s">
        <v>22</v>
      </c>
      <c r="L51" s="1"/>
      <c r="M51" s="1"/>
    </row>
    <row r="52" spans="1:13">
      <c r="A52" s="3" t="s">
        <v>2</v>
      </c>
      <c r="B52" s="3" t="s">
        <v>5</v>
      </c>
      <c r="C52" s="3" t="s">
        <v>7</v>
      </c>
      <c r="D52" s="3" t="s">
        <v>9</v>
      </c>
      <c r="E52" s="3" t="s">
        <v>11</v>
      </c>
      <c r="F52" s="3" t="s">
        <v>13</v>
      </c>
      <c r="G52" s="3" t="s">
        <v>15</v>
      </c>
      <c r="H52" s="3" t="s">
        <v>17</v>
      </c>
      <c r="I52" s="3" t="s">
        <v>19</v>
      </c>
      <c r="J52" s="3" t="s">
        <v>21</v>
      </c>
      <c r="K52" s="3" t="s">
        <v>23</v>
      </c>
    </row>
    <row r="53" spans="1:13">
      <c r="A53" s="3" t="s">
        <v>82</v>
      </c>
      <c r="B53" s="3">
        <v>6493</v>
      </c>
      <c r="C53" s="3">
        <v>4369</v>
      </c>
      <c r="D53" s="3">
        <v>4505</v>
      </c>
      <c r="E53" s="3">
        <v>8745</v>
      </c>
      <c r="F53" s="3">
        <v>6273</v>
      </c>
      <c r="G53" s="3">
        <v>9384</v>
      </c>
      <c r="H53" s="3">
        <v>5654</v>
      </c>
      <c r="I53" s="3">
        <v>3972</v>
      </c>
      <c r="J53" s="3">
        <v>8816</v>
      </c>
      <c r="K53" s="3">
        <v>3331</v>
      </c>
    </row>
    <row r="54" spans="1:13">
      <c r="A54" s="3" t="s">
        <v>83</v>
      </c>
      <c r="B54" s="3">
        <v>50</v>
      </c>
      <c r="C54" s="3">
        <v>73</v>
      </c>
      <c r="D54" s="3">
        <v>48</v>
      </c>
      <c r="E54" s="3">
        <v>55</v>
      </c>
      <c r="F54" s="3">
        <v>48</v>
      </c>
      <c r="G54" s="3">
        <v>73</v>
      </c>
      <c r="H54" s="3">
        <v>82</v>
      </c>
      <c r="I54" s="3">
        <v>12</v>
      </c>
      <c r="J54" s="3">
        <v>41</v>
      </c>
      <c r="K54" s="3">
        <v>39</v>
      </c>
    </row>
    <row r="55" spans="1:13">
      <c r="A55" s="3" t="s">
        <v>84</v>
      </c>
      <c r="B55" s="3" t="s">
        <v>10</v>
      </c>
      <c r="C55" s="3"/>
      <c r="D55" s="3"/>
      <c r="E55" s="3"/>
      <c r="F55" s="3"/>
      <c r="G55" s="3"/>
      <c r="H55" s="3"/>
      <c r="I55" s="3"/>
      <c r="J55" s="3"/>
      <c r="K55" s="3"/>
    </row>
    <row r="56" spans="1:13">
      <c r="A56" s="2" t="s">
        <v>85</v>
      </c>
      <c r="B56" s="2" t="str">
        <f>HLOOKUP($B$55,$B$51:$K$54,2,FALSE)</f>
        <v>FL</v>
      </c>
      <c r="C56" s="3"/>
      <c r="D56" s="3"/>
      <c r="E56" s="3"/>
      <c r="F56" s="3"/>
      <c r="G56" s="3"/>
      <c r="H56" s="3"/>
      <c r="I56" s="3"/>
      <c r="J56" s="3"/>
      <c r="K56" s="3"/>
    </row>
    <row r="57" spans="1:13">
      <c r="A57" s="2" t="s">
        <v>86</v>
      </c>
      <c r="B57" s="2">
        <f>HLOOKUP($B$55,$B$51:$K$54,3,FALSE)</f>
        <v>8745</v>
      </c>
      <c r="C57" s="3"/>
      <c r="D57" s="3"/>
      <c r="E57" s="3"/>
      <c r="F57" s="3"/>
      <c r="G57" s="3"/>
      <c r="H57" s="3"/>
      <c r="I57" s="3"/>
      <c r="J57" s="3"/>
      <c r="K57" s="3"/>
    </row>
    <row r="58" spans="1:13">
      <c r="A58" s="2" t="s">
        <v>87</v>
      </c>
      <c r="B58" s="2">
        <f>HLOOKUP($B$55,$B$51:$K$54,4,FALSE)</f>
        <v>55</v>
      </c>
      <c r="C58" s="3"/>
      <c r="D58" s="3"/>
      <c r="E58" s="3"/>
      <c r="F58" s="3"/>
      <c r="G58" s="3"/>
      <c r="H58" s="3"/>
      <c r="I58" s="3"/>
      <c r="J58" s="3"/>
      <c r="K58" s="3"/>
    </row>
    <row r="59" spans="1:13" ht="27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2025-08-02T10:57:41Z</dcterms:created>
  <dcterms:modified xsi:type="dcterms:W3CDTF">2025-08-02T12:15:59Z</dcterms:modified>
  <cp:category/>
  <cp:contentStatus/>
</cp:coreProperties>
</file>